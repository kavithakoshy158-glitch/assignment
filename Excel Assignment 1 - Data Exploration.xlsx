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rohan koshy\Downloads\"/>
    </mc:Choice>
  </mc:AlternateContent>
  <xr:revisionPtr revIDLastSave="0" documentId="13_ncr:1_{A0D0E0C0-9715-42F8-B486-900F97CCB6E5}" xr6:coauthVersionLast="41" xr6:coauthVersionMax="41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2" i="2"/>
  <c r="I9" i="2"/>
  <c r="I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<sst xmlns="http://schemas.openxmlformats.org/spreadsheetml/2006/main" count="170" uniqueCount="121">
  <si>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</si>
  <si>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</si>
  <si>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</si>
  <si>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</si>
  <si>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</si>
  <si>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</si>
  <si>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</si>
  <si>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</si>
  <si>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</si>
  <si>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</si>
  <si>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</si>
  <si>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</si>
  <si>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</si>
  <si>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</si>
  <si>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</si>
  <si>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</si>
  <si>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</si>
  <si>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</si>
  <si>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</si>
  <si>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</si>
  <si>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</si>
  <si>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</si>
  <si>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</si>
  <si>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</si>
  <si>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</si>
  <si>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</si>
  <si>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</si>
  <si>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</si>
  <si>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</si>
  <si>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</si>
  <si>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</si>
  <si>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</si>
  <si>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</si>
  <si>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</si>
  <si>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</si>
  <si>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</si>
  <si>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</si>
  <si>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</si>
  <si>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</si>
  <si>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</si>
  <si>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</si>
  <si>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</si>
  <si>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</si>
  <si>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</si>
  <si>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</si>
  <si>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</si>
  <si>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</si>
  <si>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</si>
  <si>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</si>
  <si>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</si>
  <si>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</si>
  <si>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</si>
  <si>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</si>
  <si>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</si>
  <si>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</si>
  <si>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</si>
  <si>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</si>
  <si>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</si>
  <si>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</si>
  <si>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</si>
  <si>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</si>
  <si>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</si>
  <si>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</si>
  <si>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</si>
  <si>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</si>
  <si>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</si>
  <si>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</si>
  <si>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</si>
  <si>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</si>
  <si>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</si>
  <si>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</si>
  <si>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</si>
  <si>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</si>
  <si>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</si>
  <si>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</si>
  <si>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</si>
  <si>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</si>
  <si>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</si>
  <si>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</si>
  <si>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</si>
  <si>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</si>
  <si>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</si>
  <si>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</si>
  <si>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</si>
  <si>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</si>
  <si>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</si>
  <si>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</si>
  <si>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</si>
  <si>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</si>
  <si>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</si>
  <si>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</si>
  <si>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</si>
  <si>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</si>
  <si>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</si>
  <si>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</si>
  <si>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</si>
  <si>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</si>
  <si>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</si>
  <si>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</si>
  <si>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</si>
  <si>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</si>
  <si>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</si>
  <si>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</si>
  <si>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</si>
  <si>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</si>
  <si>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</si>
  <si>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</si>
  <si>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</si>
  <si>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</si>
  <si>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</si>
  <si>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</si>
  <si>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Total number of products</t>
  </si>
  <si>
    <t>Average price of products</t>
  </si>
  <si>
    <t>Minimum price</t>
  </si>
  <si>
    <t>maximum price</t>
  </si>
  <si>
    <t>PRICE RANGE</t>
  </si>
  <si>
    <t>Total price for products in electronics</t>
  </si>
  <si>
    <t>count of products with price&lt;100</t>
  </si>
  <si>
    <t>country code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</si>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</sst>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workbookViewId="0">
      <selection activeCell="O33" sqref="O33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8" max="8" width="31.33203125" customWidth="1"/>
  </cols>
  <sheetData>
    <row r="1" spans="1:14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115</v>
      </c>
      <c r="L1" t="s">
        <v>118</v>
      </c>
      <c r="M1" t="s">
        <v>120</v>
      </c>
      <c r="N1" t="s">
        <v>119</v>
      </c>
    </row>
    <row r="2" spans="1:14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 t="str">
        <f>IF(D2&gt;=500,"HIGH","STANDARD")</f>
        <v>HIGH</v>
      </c>
      <c r="H2" t="s">
        <v>110</v>
      </c>
      <c r="I2">
        <f>SUM(D2:D35)</f>
        <v>10100</v>
      </c>
      <c r="L2" t="str">
        <f>RIGHT(A2,2)</f>
        <v>US</v>
      </c>
      <c r="M2" t="str">
        <f>LEFT(A2,2)</f>
        <v>28</v>
      </c>
      <c r="N2" t="str">
        <f>MID(A2,3,5)</f>
        <v>-JAN-</v>
      </c>
    </row>
    <row r="3" spans="1:14" ht="15.75" customHeight="1" x14ac:dyDescent="0.2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 t="str">
        <f t="shared" ref="G3:G35" si="0">IF(D3&gt;=500,"HIGH","STANDARD")</f>
        <v>STANDARD</v>
      </c>
      <c r="H3" t="s">
        <v>111</v>
      </c>
      <c r="I3">
        <f>COUNTA(B2:B35)</f>
        <v>34</v>
      </c>
      <c r="L3" t="str">
        <f t="shared" ref="L3:L35" si="1">RIGHT(A3,2)</f>
        <v>US</v>
      </c>
      <c r="M3" t="str">
        <f t="shared" ref="M3:M35" si="2">LEFT(A3,2)</f>
        <v>15</v>
      </c>
      <c r="N3" t="str">
        <f t="shared" ref="N3:N35" si="3">MID(A3,3,5)</f>
        <v>-FEB-</v>
      </c>
    </row>
    <row r="4" spans="1:14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 t="str">
        <f t="shared" si="0"/>
        <v>STANDARD</v>
      </c>
      <c r="H4" t="s">
        <v>112</v>
      </c>
      <c r="I4">
        <f>AVERAGE(D2:D35)</f>
        <v>297.05882352941177</v>
      </c>
      <c r="L4" t="str">
        <f t="shared" si="1"/>
        <v>US</v>
      </c>
      <c r="M4" t="str">
        <f t="shared" si="2"/>
        <v>03</v>
      </c>
      <c r="N4" t="str">
        <f t="shared" si="3"/>
        <v>-MAR-</v>
      </c>
    </row>
    <row r="5" spans="1:14" ht="15.75" customHeight="1" x14ac:dyDescent="0.2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 t="str">
        <f t="shared" si="0"/>
        <v>HIGH</v>
      </c>
      <c r="H5" t="s">
        <v>113</v>
      </c>
      <c r="I5">
        <f>MIN(D2:D35)</f>
        <v>30</v>
      </c>
      <c r="L5" t="str">
        <f t="shared" si="1"/>
        <v>US</v>
      </c>
      <c r="M5" t="str">
        <f t="shared" si="2"/>
        <v>11</v>
      </c>
      <c r="N5" t="str">
        <f t="shared" si="3"/>
        <v>-APR-</v>
      </c>
    </row>
    <row r="6" spans="1:14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 t="str">
        <f t="shared" si="0"/>
        <v>STANDARD</v>
      </c>
      <c r="H6" t="s">
        <v>114</v>
      </c>
      <c r="I6">
        <f>MAX(D2:D35)</f>
        <v>1000</v>
      </c>
      <c r="L6" t="str">
        <f t="shared" si="1"/>
        <v>US</v>
      </c>
      <c r="M6" t="str">
        <f t="shared" si="2"/>
        <v>22</v>
      </c>
      <c r="N6" t="str">
        <f t="shared" si="3"/>
        <v>-MAY-</v>
      </c>
    </row>
    <row r="7" spans="1:14" ht="15.75" customHeight="1" x14ac:dyDescent="0.2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 t="str">
        <f t="shared" si="0"/>
        <v>STANDARD</v>
      </c>
      <c r="L7" t="str">
        <f t="shared" si="1"/>
        <v>UK</v>
      </c>
      <c r="M7" t="str">
        <f t="shared" si="2"/>
        <v>07</v>
      </c>
      <c r="N7" t="str">
        <f t="shared" si="3"/>
        <v>-JUN-</v>
      </c>
    </row>
    <row r="8" spans="1:14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 t="str">
        <f t="shared" si="0"/>
        <v>STANDARD</v>
      </c>
      <c r="H8" t="s">
        <v>116</v>
      </c>
      <c r="I8">
        <f>SUMIF(F2:F35,"electronics",D2:D35)</f>
        <v>8050</v>
      </c>
      <c r="L8" t="str">
        <f t="shared" si="1"/>
        <v>UK</v>
      </c>
      <c r="M8" t="str">
        <f t="shared" si="2"/>
        <v>19</v>
      </c>
      <c r="N8" t="str">
        <f t="shared" si="3"/>
        <v>-JUL-</v>
      </c>
    </row>
    <row r="9" spans="1:14" ht="15.75" customHeight="1" x14ac:dyDescent="0.2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 t="str">
        <f t="shared" si="0"/>
        <v>STANDARD</v>
      </c>
      <c r="H9" t="s">
        <v>117</v>
      </c>
      <c r="I9">
        <f>COUNTIF(D2:D35,"&lt;100")</f>
        <v>11</v>
      </c>
      <c r="L9" t="str">
        <f t="shared" si="1"/>
        <v>UK</v>
      </c>
      <c r="M9" t="str">
        <f t="shared" si="2"/>
        <v>23</v>
      </c>
      <c r="N9" t="str">
        <f t="shared" si="3"/>
        <v>-AUG-</v>
      </c>
    </row>
    <row r="10" spans="1:14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 t="str">
        <f t="shared" si="0"/>
        <v>HIGH</v>
      </c>
      <c r="L10" t="str">
        <f t="shared" si="1"/>
        <v>UK</v>
      </c>
      <c r="M10" t="str">
        <f t="shared" si="2"/>
        <v>05</v>
      </c>
      <c r="N10" t="str">
        <f t="shared" si="3"/>
        <v>-SEP-</v>
      </c>
    </row>
    <row r="11" spans="1:14" ht="15.75" customHeight="1" x14ac:dyDescent="0.25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 t="str">
        <f t="shared" si="0"/>
        <v>STANDARD</v>
      </c>
      <c r="L11" t="str">
        <f t="shared" si="1"/>
        <v>UK</v>
      </c>
      <c r="M11" t="str">
        <f t="shared" si="2"/>
        <v>14</v>
      </c>
      <c r="N11" t="str">
        <f t="shared" si="3"/>
        <v>-OCT-</v>
      </c>
    </row>
    <row r="12" spans="1:14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 t="str">
        <f t="shared" si="0"/>
        <v>HIGH</v>
      </c>
      <c r="L12" t="str">
        <f t="shared" si="1"/>
        <v>IN</v>
      </c>
      <c r="M12" t="str">
        <f t="shared" si="2"/>
        <v>17</v>
      </c>
      <c r="N12" t="str">
        <f t="shared" si="3"/>
        <v>-JUN-</v>
      </c>
    </row>
    <row r="13" spans="1:14" ht="15.75" customHeight="1" x14ac:dyDescent="0.25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 t="str">
        <f t="shared" si="0"/>
        <v>STANDARD</v>
      </c>
      <c r="L13" t="str">
        <f t="shared" si="1"/>
        <v>AU</v>
      </c>
      <c r="M13" t="str">
        <f t="shared" si="2"/>
        <v>25</v>
      </c>
      <c r="N13" t="str">
        <f t="shared" si="3"/>
        <v>-NOV-</v>
      </c>
    </row>
    <row r="14" spans="1:14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 t="str">
        <f t="shared" si="0"/>
        <v>STANDARD</v>
      </c>
      <c r="L14" t="str">
        <f t="shared" si="1"/>
        <v>DE</v>
      </c>
      <c r="M14" t="str">
        <f t="shared" si="2"/>
        <v>08</v>
      </c>
      <c r="N14" t="str">
        <f t="shared" si="3"/>
        <v>-DEC-</v>
      </c>
    </row>
    <row r="15" spans="1:14" ht="15.75" customHeight="1" x14ac:dyDescent="0.2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 t="str">
        <f t="shared" si="0"/>
        <v>STANDARD</v>
      </c>
      <c r="L15" t="str">
        <f t="shared" si="1"/>
        <v>CA</v>
      </c>
      <c r="M15" t="str">
        <f t="shared" si="2"/>
        <v>18</v>
      </c>
      <c r="N15" t="str">
        <f t="shared" si="3"/>
        <v>-FEB-</v>
      </c>
    </row>
    <row r="16" spans="1:14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 t="str">
        <f t="shared" si="0"/>
        <v>STANDARD</v>
      </c>
      <c r="L16" t="str">
        <f t="shared" si="1"/>
        <v>ES</v>
      </c>
      <c r="M16" t="str">
        <f t="shared" si="2"/>
        <v>16</v>
      </c>
      <c r="N16" t="str">
        <f t="shared" si="3"/>
        <v>-APR-</v>
      </c>
    </row>
    <row r="17" spans="1:14" ht="15.75" customHeight="1" x14ac:dyDescent="0.25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 t="str">
        <f t="shared" si="0"/>
        <v>STANDARD</v>
      </c>
      <c r="L17" t="str">
        <f t="shared" si="1"/>
        <v>CA</v>
      </c>
      <c r="M17" t="str">
        <f t="shared" si="2"/>
        <v>21</v>
      </c>
      <c r="N17" t="str">
        <f t="shared" si="3"/>
        <v>-AUG-</v>
      </c>
    </row>
    <row r="18" spans="1:14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 t="str">
        <f t="shared" si="0"/>
        <v>STANDARD</v>
      </c>
      <c r="L18" t="str">
        <f t="shared" si="1"/>
        <v>CN</v>
      </c>
      <c r="M18" t="str">
        <f t="shared" si="2"/>
        <v>20</v>
      </c>
      <c r="N18" t="str">
        <f t="shared" si="3"/>
        <v>-AUG-</v>
      </c>
    </row>
    <row r="19" spans="1:14" ht="15.75" customHeight="1" x14ac:dyDescent="0.25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 t="str">
        <f t="shared" si="0"/>
        <v>HIGH</v>
      </c>
      <c r="L19" t="str">
        <f t="shared" si="1"/>
        <v>IT</v>
      </c>
      <c r="M19" t="str">
        <f t="shared" si="2"/>
        <v>27</v>
      </c>
      <c r="N19" t="str">
        <f t="shared" si="3"/>
        <v>-JAN-</v>
      </c>
    </row>
    <row r="20" spans="1:14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 t="str">
        <f t="shared" si="0"/>
        <v>STANDARD</v>
      </c>
      <c r="L20" t="str">
        <f t="shared" si="1"/>
        <v>UK</v>
      </c>
      <c r="M20" t="str">
        <f t="shared" si="2"/>
        <v>01</v>
      </c>
      <c r="N20" t="str">
        <f t="shared" si="3"/>
        <v>-MAR-</v>
      </c>
    </row>
    <row r="21" spans="1:14" ht="15.75" customHeight="1" x14ac:dyDescent="0.25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 t="str">
        <f t="shared" si="0"/>
        <v>STANDARD</v>
      </c>
      <c r="L21" t="str">
        <f t="shared" si="1"/>
        <v>US</v>
      </c>
      <c r="M21" t="str">
        <f t="shared" si="2"/>
        <v>14</v>
      </c>
      <c r="N21" t="str">
        <f t="shared" si="3"/>
        <v>-AUG-</v>
      </c>
    </row>
    <row r="22" spans="1:14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 t="str">
        <f t="shared" si="0"/>
        <v>HIGH</v>
      </c>
      <c r="L22" t="str">
        <f t="shared" si="1"/>
        <v>RU</v>
      </c>
      <c r="M22" t="str">
        <f t="shared" si="2"/>
        <v>14</v>
      </c>
      <c r="N22" t="str">
        <f t="shared" si="3"/>
        <v>-MAY-</v>
      </c>
    </row>
    <row r="23" spans="1:14" ht="15.75" customHeight="1" x14ac:dyDescent="0.2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 t="str">
        <f t="shared" si="0"/>
        <v>STANDARD</v>
      </c>
      <c r="L23" t="str">
        <f t="shared" si="1"/>
        <v>CA</v>
      </c>
      <c r="M23" t="str">
        <f t="shared" si="2"/>
        <v>09</v>
      </c>
      <c r="N23" t="str">
        <f t="shared" si="3"/>
        <v>-JAN-</v>
      </c>
    </row>
    <row r="24" spans="1:14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 t="str">
        <f t="shared" si="0"/>
        <v>STANDARD</v>
      </c>
      <c r="L24" t="str">
        <f t="shared" si="1"/>
        <v>BR</v>
      </c>
      <c r="M24" t="str">
        <f t="shared" si="2"/>
        <v>19</v>
      </c>
      <c r="N24" t="str">
        <f t="shared" si="3"/>
        <v>-JUL-</v>
      </c>
    </row>
    <row r="25" spans="1:14" ht="15.75" customHeight="1" x14ac:dyDescent="0.25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8" t="str">
        <f t="shared" si="0"/>
        <v>STANDARD</v>
      </c>
      <c r="L25" t="str">
        <f t="shared" si="1"/>
        <v>CA</v>
      </c>
      <c r="M25" t="str">
        <f t="shared" si="2"/>
        <v>21</v>
      </c>
      <c r="N25" t="str">
        <f t="shared" si="3"/>
        <v>-AUG-</v>
      </c>
    </row>
    <row r="26" spans="1:14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 t="str">
        <f t="shared" si="0"/>
        <v>HIGH</v>
      </c>
      <c r="L26" t="str">
        <f t="shared" si="1"/>
        <v>CA</v>
      </c>
      <c r="M26" t="str">
        <f t="shared" si="2"/>
        <v>29</v>
      </c>
      <c r="N26" t="str">
        <f t="shared" si="3"/>
        <v>-SEP-</v>
      </c>
    </row>
    <row r="27" spans="1:14" ht="15.75" customHeight="1" x14ac:dyDescent="0.25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 t="str">
        <f t="shared" si="0"/>
        <v>STANDARD</v>
      </c>
      <c r="L27" t="str">
        <f t="shared" si="1"/>
        <v>CA</v>
      </c>
      <c r="M27" t="str">
        <f t="shared" si="2"/>
        <v>03</v>
      </c>
      <c r="N27" t="str">
        <f t="shared" si="3"/>
        <v>-JUN-</v>
      </c>
    </row>
    <row r="28" spans="1:14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 t="str">
        <f t="shared" si="0"/>
        <v>STANDARD</v>
      </c>
      <c r="L28" t="str">
        <f t="shared" si="1"/>
        <v>CA</v>
      </c>
      <c r="M28" t="str">
        <f t="shared" si="2"/>
        <v>11</v>
      </c>
      <c r="N28" t="str">
        <f t="shared" si="3"/>
        <v>-JUL-</v>
      </c>
    </row>
    <row r="29" spans="1:14" ht="15.75" customHeight="1" x14ac:dyDescent="0.25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8" t="str">
        <f t="shared" si="0"/>
        <v>STANDARD</v>
      </c>
      <c r="L29" t="str">
        <f t="shared" si="1"/>
        <v>ES</v>
      </c>
      <c r="M29" t="str">
        <f t="shared" si="2"/>
        <v>16</v>
      </c>
      <c r="N29" t="str">
        <f t="shared" si="3"/>
        <v>-APR-</v>
      </c>
    </row>
    <row r="30" spans="1:14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 t="str">
        <f t="shared" si="0"/>
        <v>STANDARD</v>
      </c>
      <c r="L30" t="str">
        <f t="shared" si="1"/>
        <v>CA</v>
      </c>
      <c r="M30" t="str">
        <f t="shared" si="2"/>
        <v>07</v>
      </c>
      <c r="N30" t="str">
        <f t="shared" si="3"/>
        <v>-MAR-</v>
      </c>
    </row>
    <row r="31" spans="1:14" ht="15.75" customHeight="1" x14ac:dyDescent="0.25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 t="str">
        <f t="shared" si="0"/>
        <v>STANDARD</v>
      </c>
      <c r="L31" t="str">
        <f t="shared" si="1"/>
        <v>CA</v>
      </c>
      <c r="M31" t="str">
        <f t="shared" si="2"/>
        <v>13</v>
      </c>
      <c r="N31" t="str">
        <f t="shared" si="3"/>
        <v>-APR-</v>
      </c>
    </row>
    <row r="32" spans="1:14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 t="str">
        <f t="shared" si="0"/>
        <v>STANDARD</v>
      </c>
      <c r="L32" t="str">
        <f t="shared" si="1"/>
        <v>CA</v>
      </c>
      <c r="M32" t="str">
        <f t="shared" si="2"/>
        <v>24</v>
      </c>
      <c r="N32" t="str">
        <f t="shared" si="3"/>
        <v>-MAY-</v>
      </c>
    </row>
    <row r="33" spans="1:14" ht="15.75" customHeight="1" x14ac:dyDescent="0.25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 t="str">
        <f t="shared" si="0"/>
        <v>STANDARD</v>
      </c>
      <c r="L33" t="str">
        <f t="shared" si="1"/>
        <v>CA</v>
      </c>
      <c r="M33" t="str">
        <f t="shared" si="2"/>
        <v>02</v>
      </c>
      <c r="N33" t="str">
        <f t="shared" si="3"/>
        <v>-DEC-</v>
      </c>
    </row>
    <row r="34" spans="1:14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 t="str">
        <f t="shared" si="0"/>
        <v>HIGH</v>
      </c>
      <c r="L34" t="str">
        <f t="shared" si="1"/>
        <v>IN</v>
      </c>
      <c r="M34" t="str">
        <f t="shared" si="2"/>
        <v>17</v>
      </c>
      <c r="N34" t="str">
        <f t="shared" si="3"/>
        <v>-JUN-</v>
      </c>
    </row>
    <row r="35" spans="1:14" ht="15.75" customHeight="1" x14ac:dyDescent="0.25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 t="str">
        <f t="shared" si="0"/>
        <v>STANDARD</v>
      </c>
      <c r="L35" t="str">
        <f t="shared" si="1"/>
        <v>FR</v>
      </c>
      <c r="M35" t="str">
        <f t="shared" si="2"/>
        <v>09</v>
      </c>
      <c r="N35" t="str">
        <f t="shared" si="3"/>
        <v>-JUL-</v>
      </c>
    </row>
    <row r="36" spans="1:14" ht="15.75" customHeight="1" x14ac:dyDescent="0.25">
      <c r="G36" s="8"/>
    </row>
    <row r="37" spans="1:14" ht="15.75" customHeight="1" x14ac:dyDescent="0.25">
      <c r="G37" s="8"/>
    </row>
    <row r="38" spans="1:14" ht="15.75" customHeight="1" x14ac:dyDescent="0.25"/>
    <row r="39" spans="1:14" ht="15.75" customHeight="1" x14ac:dyDescent="0.25"/>
    <row r="40" spans="1:14" ht="15.75" customHeight="1" x14ac:dyDescent="0.25"/>
    <row r="41" spans="1:14" ht="15.75" customHeight="1" x14ac:dyDescent="0.25"/>
    <row r="42" spans="1:14" ht="15.75" customHeight="1" x14ac:dyDescent="0.25"/>
    <row r="43" spans="1:14" ht="15.75" customHeight="1" x14ac:dyDescent="0.25"/>
    <row r="44" spans="1:14" ht="15.75" customHeight="1" x14ac:dyDescent="0.25"/>
    <row r="45" spans="1:14" ht="15.75" customHeight="1" x14ac:dyDescent="0.25"/>
    <row r="46" spans="1:14" ht="15.75" customHeight="1" x14ac:dyDescent="0.25"/>
    <row r="47" spans="1:14" ht="15.75" customHeight="1" x14ac:dyDescent="0.25"/>
    <row r="48" spans="1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koshy</cp:lastModifiedBy>
  <dcterms:modified xsi:type="dcterms:W3CDTF">2026-08-31T09:24:09Z</dcterms:modified>
</cp:coreProperties>
</file>